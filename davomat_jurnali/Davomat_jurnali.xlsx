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quvchilar" sheetId="1" state="visible" r:id="rId1"/>
    <sheet name="Davo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001F4E78"/>
      <sz val="11"/>
    </font>
    <font>
      <name val="Calibri"/>
      <color rgb="FF000000"/>
      <sz val="11"/>
    </font>
    <font>
      <name val="Calibri"/>
      <i val="1"/>
      <color rgb="00808080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FF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2" customWidth="1" min="4" max="4"/>
  </cols>
  <sheetData>
    <row r="1" ht="26" customHeight="1">
      <c r="A1" s="1" t="inlineStr">
        <is>
          <t>O'QUVCHILAR RO'YXATI</t>
        </is>
      </c>
    </row>
    <row r="2" ht="20" customHeight="1">
      <c r="A2" s="2" t="inlineStr">
        <is>
          <t>№</t>
        </is>
      </c>
      <c r="B2" s="2" t="inlineStr">
        <is>
          <t>F.I.SH.</t>
        </is>
      </c>
      <c r="C2" s="2" t="inlineStr">
        <is>
          <t>Telefon raqami</t>
        </is>
      </c>
      <c r="D2" s="2" t="inlineStr">
        <is>
          <t>Izoh</t>
        </is>
      </c>
    </row>
    <row r="3" ht="18" customHeight="1">
      <c r="A3" s="3" t="n">
        <v>1</v>
      </c>
      <c r="B3" s="4" t="n"/>
      <c r="C3" s="4" t="n"/>
      <c r="D3" s="4" t="n"/>
    </row>
    <row r="4" ht="18" customHeight="1">
      <c r="A4" s="5" t="n">
        <v>2</v>
      </c>
      <c r="B4" s="6" t="n"/>
      <c r="C4" s="6" t="n"/>
      <c r="D4" s="6" t="n"/>
    </row>
    <row r="5" ht="18" customHeight="1">
      <c r="A5" s="3" t="n">
        <v>3</v>
      </c>
      <c r="B5" s="4" t="n"/>
      <c r="C5" s="4" t="n"/>
      <c r="D5" s="4" t="n"/>
    </row>
    <row r="6" ht="18" customHeight="1">
      <c r="A6" s="5" t="n">
        <v>4</v>
      </c>
      <c r="B6" s="6" t="n"/>
      <c r="C6" s="6" t="n"/>
      <c r="D6" s="6" t="n"/>
    </row>
    <row r="7" ht="18" customHeight="1">
      <c r="A7" s="3" t="n">
        <v>5</v>
      </c>
      <c r="B7" s="4" t="n"/>
      <c r="C7" s="4" t="n"/>
      <c r="D7" s="4" t="n"/>
    </row>
    <row r="8" ht="18" customHeight="1">
      <c r="A8" s="5" t="n">
        <v>6</v>
      </c>
      <c r="B8" s="6" t="n"/>
      <c r="C8" s="6" t="n"/>
      <c r="D8" s="6" t="n"/>
    </row>
    <row r="9" ht="18" customHeight="1">
      <c r="A9" s="3" t="n">
        <v>7</v>
      </c>
      <c r="B9" s="4" t="n"/>
      <c r="C9" s="4" t="n"/>
      <c r="D9" s="4" t="n"/>
    </row>
    <row r="10" ht="18" customHeight="1">
      <c r="A10" s="5" t="n">
        <v>8</v>
      </c>
      <c r="B10" s="6" t="n"/>
      <c r="C10" s="6" t="n"/>
      <c r="D10" s="6" t="n"/>
    </row>
    <row r="11" ht="18" customHeight="1">
      <c r="A11" s="3" t="n">
        <v>9</v>
      </c>
      <c r="B11" s="4" t="n"/>
      <c r="C11" s="4" t="n"/>
      <c r="D11" s="4" t="n"/>
    </row>
    <row r="12" ht="18" customHeight="1">
      <c r="A12" s="5" t="n">
        <v>10</v>
      </c>
      <c r="B12" s="6" t="n"/>
      <c r="C12" s="6" t="n"/>
      <c r="D12" s="6" t="n"/>
    </row>
    <row r="13" ht="18" customHeight="1">
      <c r="A13" s="3" t="n">
        <v>11</v>
      </c>
      <c r="B13" s="4" t="n"/>
      <c r="C13" s="4" t="n"/>
      <c r="D13" s="4" t="n"/>
    </row>
    <row r="14" ht="18" customHeight="1">
      <c r="A14" s="5" t="n">
        <v>12</v>
      </c>
      <c r="B14" s="6" t="n"/>
      <c r="C14" s="6" t="n"/>
      <c r="D14" s="6" t="n"/>
    </row>
    <row r="15" ht="18" customHeight="1">
      <c r="A15" s="3" t="n">
        <v>13</v>
      </c>
      <c r="B15" s="4" t="n"/>
      <c r="C15" s="4" t="n"/>
      <c r="D15" s="4" t="n"/>
    </row>
    <row r="16" ht="18" customHeight="1">
      <c r="A16" s="5" t="n">
        <v>14</v>
      </c>
      <c r="B16" s="6" t="n"/>
      <c r="C16" s="6" t="n"/>
      <c r="D16" s="6" t="n"/>
    </row>
    <row r="17" ht="18" customHeight="1">
      <c r="A17" s="3" t="n">
        <v>15</v>
      </c>
      <c r="B17" s="4" t="n"/>
      <c r="C17" s="4" t="n"/>
      <c r="D17" s="4" t="n"/>
    </row>
    <row r="18" ht="18" customHeight="1">
      <c r="A18" s="5" t="n">
        <v>16</v>
      </c>
      <c r="B18" s="6" t="n"/>
      <c r="C18" s="6" t="n"/>
      <c r="D18" s="6" t="n"/>
    </row>
    <row r="19" ht="18" customHeight="1">
      <c r="A19" s="3" t="n">
        <v>17</v>
      </c>
      <c r="B19" s="4" t="n"/>
      <c r="C19" s="4" t="n"/>
      <c r="D19" s="4" t="n"/>
    </row>
    <row r="20" ht="18" customHeight="1">
      <c r="A20" s="5" t="n">
        <v>18</v>
      </c>
      <c r="B20" s="6" t="n"/>
      <c r="C20" s="6" t="n"/>
      <c r="D20" s="6" t="n"/>
    </row>
    <row r="21" ht="18" customHeight="1">
      <c r="A21" s="3" t="n">
        <v>19</v>
      </c>
      <c r="B21" s="4" t="n"/>
      <c r="C21" s="4" t="n"/>
      <c r="D21" s="4" t="n"/>
    </row>
    <row r="22" ht="18" customHeight="1">
      <c r="A22" s="5" t="n">
        <v>20</v>
      </c>
      <c r="B22" s="6" t="n"/>
      <c r="C22" s="6" t="n"/>
      <c r="D22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 ht="26" customHeight="1">
      <c r="A1" s="1" t="inlineStr">
        <is>
          <t>DARSLARGA DAVOMAT JURNALI</t>
        </is>
      </c>
    </row>
    <row r="2" ht="20" customHeight="1">
      <c r="A2" s="2" t="inlineStr">
        <is>
          <t>№</t>
        </is>
      </c>
      <c r="B2" s="2" t="inlineStr">
        <is>
          <t>F.I.SH.</t>
        </is>
      </c>
      <c r="C2" s="2" t="inlineStr">
        <is>
          <t>1-dars</t>
        </is>
      </c>
      <c r="D2" s="2" t="inlineStr">
        <is>
          <t>2-dars</t>
        </is>
      </c>
      <c r="E2" s="2" t="inlineStr">
        <is>
          <t>3-dars</t>
        </is>
      </c>
      <c r="F2" s="2" t="inlineStr">
        <is>
          <t>4-dars</t>
        </is>
      </c>
      <c r="G2" s="2" t="inlineStr">
        <is>
          <t>5-dars</t>
        </is>
      </c>
      <c r="H2" s="2" t="inlineStr">
        <is>
          <t>6-dars</t>
        </is>
      </c>
      <c r="I2" s="2" t="inlineStr">
        <is>
          <t>7-dars</t>
        </is>
      </c>
      <c r="J2" s="2" t="inlineStr">
        <is>
          <t>8-dars</t>
        </is>
      </c>
      <c r="K2" s="2" t="inlineStr">
        <is>
          <t>9-dars</t>
        </is>
      </c>
      <c r="L2" s="2" t="inlineStr">
        <is>
          <t>10-dars</t>
        </is>
      </c>
      <c r="M2" s="2" t="inlineStr">
        <is>
          <t>11-dars</t>
        </is>
      </c>
      <c r="N2" s="2" t="inlineStr">
        <is>
          <t>12-dars</t>
        </is>
      </c>
      <c r="O2" s="2" t="inlineStr">
        <is>
          <t>13-dars</t>
        </is>
      </c>
      <c r="P2" s="2" t="inlineStr">
        <is>
          <t>14-dars</t>
        </is>
      </c>
      <c r="Q2" s="2" t="inlineStr">
        <is>
          <t>15-dars</t>
        </is>
      </c>
      <c r="R2" s="2" t="inlineStr">
        <is>
          <t>16-dars</t>
        </is>
      </c>
      <c r="S2" s="2" t="inlineStr">
        <is>
          <t>17-dars</t>
        </is>
      </c>
      <c r="T2" s="2" t="inlineStr">
        <is>
          <t>18-dars</t>
        </is>
      </c>
      <c r="U2" s="2" t="inlineStr">
        <is>
          <t>19-dars</t>
        </is>
      </c>
      <c r="V2" s="2" t="inlineStr">
        <is>
          <t>20-dars</t>
        </is>
      </c>
      <c r="W2" s="2" t="inlineStr">
        <is>
          <t>21-dars</t>
        </is>
      </c>
      <c r="X2" s="2" t="inlineStr">
        <is>
          <t>22-dars</t>
        </is>
      </c>
      <c r="Y2" s="2" t="inlineStr">
        <is>
          <t>23-dars</t>
        </is>
      </c>
      <c r="Z2" s="2" t="inlineStr">
        <is>
          <t>24-dars</t>
        </is>
      </c>
      <c r="AA2" s="2" t="inlineStr">
        <is>
          <t>25-dars</t>
        </is>
      </c>
      <c r="AB2" s="2" t="inlineStr">
        <is>
          <t>26-dars</t>
        </is>
      </c>
      <c r="AC2" s="2" t="inlineStr">
        <is>
          <t>27-dars</t>
        </is>
      </c>
      <c r="AD2" s="2" t="inlineStr">
        <is>
          <t>28-dars</t>
        </is>
      </c>
      <c r="AE2" s="2" t="inlineStr">
        <is>
          <t>29-dars</t>
        </is>
      </c>
      <c r="AF2" s="2" t="inlineStr">
        <is>
          <t>30-dars</t>
        </is>
      </c>
      <c r="AG2" s="7" t="inlineStr">
        <is>
          <t>Jami +</t>
        </is>
      </c>
      <c r="AH2" s="7" t="inlineStr">
        <is>
          <t>Jami -</t>
        </is>
      </c>
      <c r="AI2" s="7" t="inlineStr">
        <is>
          <t>Jami 0</t>
        </is>
      </c>
      <c r="AJ2" s="7" t="inlineStr">
        <is>
          <t>Davomat %</t>
        </is>
      </c>
    </row>
    <row r="3" ht="18" customHeight="1">
      <c r="A3" s="8" t="n"/>
      <c r="B3" s="8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8" t="n"/>
      <c r="AH3" s="8" t="n"/>
      <c r="AI3" s="8" t="n"/>
      <c r="AJ3" s="8" t="n"/>
    </row>
    <row r="4" ht="18" customHeight="1">
      <c r="A4" s="10" t="n">
        <v>1</v>
      </c>
      <c r="B4" s="11">
        <f>IF('O''quvchilar'!B3="","",'O''quvchilar'!B3)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10">
        <f>COUNTIF(C4:AF4,"+")</f>
        <v/>
      </c>
      <c r="AH4" s="10">
        <f>COUNTIF(C4:AF4,"-")</f>
        <v/>
      </c>
      <c r="AI4" s="10">
        <f>COUNTIF(C4:AF4,"0")</f>
        <v/>
      </c>
      <c r="AJ4" s="12">
        <f>IF((AG4+AH4+AI4)=0,"",ROUND(AG4/(AG4+AH4+AI4)*100,0))</f>
        <v/>
      </c>
    </row>
    <row r="5" ht="18" customHeight="1">
      <c r="A5" s="13" t="n">
        <v>2</v>
      </c>
      <c r="B5" s="14">
        <f>IF('O''quvchilar'!B4="","",'O''quvchilar'!B4)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10">
        <f>COUNTIF(C5:AF5,"+")</f>
        <v/>
      </c>
      <c r="AH5" s="10">
        <f>COUNTIF(C5:AF5,"-")</f>
        <v/>
      </c>
      <c r="AI5" s="10">
        <f>COUNTIF(C5:AF5,"0")</f>
        <v/>
      </c>
      <c r="AJ5" s="12">
        <f>IF((AG5+AH5+AI5)=0,"",ROUND(AG5/(AG5+AH5+AI5)*100,0))</f>
        <v/>
      </c>
    </row>
    <row r="6" ht="18" customHeight="1">
      <c r="A6" s="10" t="n">
        <v>3</v>
      </c>
      <c r="B6" s="11">
        <f>IF('O''quvchilar'!B5="","",'O''quvchilar'!B5)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10">
        <f>COUNTIF(C6:AF6,"+")</f>
        <v/>
      </c>
      <c r="AH6" s="10">
        <f>COUNTIF(C6:AF6,"-")</f>
        <v/>
      </c>
      <c r="AI6" s="10">
        <f>COUNTIF(C6:AF6,"0")</f>
        <v/>
      </c>
      <c r="AJ6" s="12">
        <f>IF((AG6+AH6+AI6)=0,"",ROUND(AG6/(AG6+AH6+AI6)*100,0))</f>
        <v/>
      </c>
    </row>
    <row r="7" ht="18" customHeight="1">
      <c r="A7" s="13" t="n">
        <v>4</v>
      </c>
      <c r="B7" s="14">
        <f>IF('O''quvchilar'!B6="","",'O''quvchilar'!B6)</f>
        <v/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10">
        <f>COUNTIF(C7:AF7,"+")</f>
        <v/>
      </c>
      <c r="AH7" s="10">
        <f>COUNTIF(C7:AF7,"-")</f>
        <v/>
      </c>
      <c r="AI7" s="10">
        <f>COUNTIF(C7:AF7,"0")</f>
        <v/>
      </c>
      <c r="AJ7" s="12">
        <f>IF((AG7+AH7+AI7)=0,"",ROUND(AG7/(AG7+AH7+AI7)*100,0))</f>
        <v/>
      </c>
    </row>
    <row r="8" ht="18" customHeight="1">
      <c r="A8" s="10" t="n">
        <v>5</v>
      </c>
      <c r="B8" s="11">
        <f>IF('O''quvchilar'!B7="","",'O''quvchilar'!B7)</f>
        <v/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10">
        <f>COUNTIF(C8:AF8,"+")</f>
        <v/>
      </c>
      <c r="AH8" s="10">
        <f>COUNTIF(C8:AF8,"-")</f>
        <v/>
      </c>
      <c r="AI8" s="10">
        <f>COUNTIF(C8:AF8,"0")</f>
        <v/>
      </c>
      <c r="AJ8" s="12">
        <f>IF((AG8+AH8+AI8)=0,"",ROUND(AG8/(AG8+AH8+AI8)*100,0))</f>
        <v/>
      </c>
    </row>
    <row r="9" ht="18" customHeight="1">
      <c r="A9" s="13" t="n">
        <v>6</v>
      </c>
      <c r="B9" s="14">
        <f>IF('O''quvchilar'!B8="","",'O''quvchilar'!B8)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10">
        <f>COUNTIF(C9:AF9,"+")</f>
        <v/>
      </c>
      <c r="AH9" s="10">
        <f>COUNTIF(C9:AF9,"-")</f>
        <v/>
      </c>
      <c r="AI9" s="10">
        <f>COUNTIF(C9:AF9,"0")</f>
        <v/>
      </c>
      <c r="AJ9" s="12">
        <f>IF((AG9+AH9+AI9)=0,"",ROUND(AG9/(AG9+AH9+AI9)*100,0))</f>
        <v/>
      </c>
    </row>
    <row r="10" ht="18" customHeight="1">
      <c r="A10" s="10" t="n">
        <v>7</v>
      </c>
      <c r="B10" s="11">
        <f>IF('O''quvchilar'!B9="","",'O''quvchilar'!B9)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10">
        <f>COUNTIF(C10:AF10,"+")</f>
        <v/>
      </c>
      <c r="AH10" s="10">
        <f>COUNTIF(C10:AF10,"-")</f>
        <v/>
      </c>
      <c r="AI10" s="10">
        <f>COUNTIF(C10:AF10,"0")</f>
        <v/>
      </c>
      <c r="AJ10" s="12">
        <f>IF((AG10+AH10+AI10)=0,"",ROUND(AG10/(AG10+AH10+AI10)*100,0))</f>
        <v/>
      </c>
    </row>
    <row r="11" ht="18" customHeight="1">
      <c r="A11" s="13" t="n">
        <v>8</v>
      </c>
      <c r="B11" s="14">
        <f>IF('O''quvchilar'!B10="","",'O''quvchilar'!B10)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10">
        <f>COUNTIF(C11:AF11,"+")</f>
        <v/>
      </c>
      <c r="AH11" s="10">
        <f>COUNTIF(C11:AF11,"-")</f>
        <v/>
      </c>
      <c r="AI11" s="10">
        <f>COUNTIF(C11:AF11,"0")</f>
        <v/>
      </c>
      <c r="AJ11" s="12">
        <f>IF((AG11+AH11+AI11)=0,"",ROUND(AG11/(AG11+AH11+AI11)*100,0))</f>
        <v/>
      </c>
    </row>
    <row r="12" ht="18" customHeight="1">
      <c r="A12" s="10" t="n">
        <v>9</v>
      </c>
      <c r="B12" s="11">
        <f>IF('O''quvchilar'!B11="","",'O''quvchilar'!B11)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10">
        <f>COUNTIF(C12:AF12,"+")</f>
        <v/>
      </c>
      <c r="AH12" s="10">
        <f>COUNTIF(C12:AF12,"-")</f>
        <v/>
      </c>
      <c r="AI12" s="10">
        <f>COUNTIF(C12:AF12,"0")</f>
        <v/>
      </c>
      <c r="AJ12" s="12">
        <f>IF((AG12+AH12+AI12)=0,"",ROUND(AG12/(AG12+AH12+AI12)*100,0))</f>
        <v/>
      </c>
    </row>
    <row r="13" ht="18" customHeight="1">
      <c r="A13" s="13" t="n">
        <v>10</v>
      </c>
      <c r="B13" s="14">
        <f>IF('O''quvchilar'!B12="","",'O''quvchilar'!B12)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10">
        <f>COUNTIF(C13:AF13,"+")</f>
        <v/>
      </c>
      <c r="AH13" s="10">
        <f>COUNTIF(C13:AF13,"-")</f>
        <v/>
      </c>
      <c r="AI13" s="10">
        <f>COUNTIF(C13:AF13,"0")</f>
        <v/>
      </c>
      <c r="AJ13" s="12">
        <f>IF((AG13+AH13+AI13)=0,"",ROUND(AG13/(AG13+AH13+AI13)*100,0))</f>
        <v/>
      </c>
    </row>
    <row r="14" ht="18" customHeight="1">
      <c r="A14" s="10" t="n">
        <v>11</v>
      </c>
      <c r="B14" s="11">
        <f>IF('O''quvchilar'!B13="","",'O''quvchilar'!B13)</f>
        <v/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10">
        <f>COUNTIF(C14:AF14,"+")</f>
        <v/>
      </c>
      <c r="AH14" s="10">
        <f>COUNTIF(C14:AF14,"-")</f>
        <v/>
      </c>
      <c r="AI14" s="10">
        <f>COUNTIF(C14:AF14,"0")</f>
        <v/>
      </c>
      <c r="AJ14" s="12">
        <f>IF((AG14+AH14+AI14)=0,"",ROUND(AG14/(AG14+AH14+AI14)*100,0))</f>
        <v/>
      </c>
    </row>
    <row r="15" ht="18" customHeight="1">
      <c r="A15" s="13" t="n">
        <v>12</v>
      </c>
      <c r="B15" s="14">
        <f>IF('O''quvchilar'!B14="","",'O''quvchilar'!B14)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10">
        <f>COUNTIF(C15:AF15,"+")</f>
        <v/>
      </c>
      <c r="AH15" s="10">
        <f>COUNTIF(C15:AF15,"-")</f>
        <v/>
      </c>
      <c r="AI15" s="10">
        <f>COUNTIF(C15:AF15,"0")</f>
        <v/>
      </c>
      <c r="AJ15" s="12">
        <f>IF((AG15+AH15+AI15)=0,"",ROUND(AG15/(AG15+AH15+AI15)*100,0))</f>
        <v/>
      </c>
    </row>
    <row r="16" ht="18" customHeight="1">
      <c r="A16" s="10" t="n">
        <v>13</v>
      </c>
      <c r="B16" s="11">
        <f>IF('O''quvchilar'!B15="","",'O''quvchilar'!B15)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10">
        <f>COUNTIF(C16:AF16,"+")</f>
        <v/>
      </c>
      <c r="AH16" s="10">
        <f>COUNTIF(C16:AF16,"-")</f>
        <v/>
      </c>
      <c r="AI16" s="10">
        <f>COUNTIF(C16:AF16,"0")</f>
        <v/>
      </c>
      <c r="AJ16" s="12">
        <f>IF((AG16+AH16+AI16)=0,"",ROUND(AG16/(AG16+AH16+AI16)*100,0))</f>
        <v/>
      </c>
    </row>
    <row r="17" ht="18" customHeight="1">
      <c r="A17" s="13" t="n">
        <v>14</v>
      </c>
      <c r="B17" s="14">
        <f>IF('O''quvchilar'!B16="","",'O''quvchilar'!B16)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10">
        <f>COUNTIF(C17:AF17,"+")</f>
        <v/>
      </c>
      <c r="AH17" s="10">
        <f>COUNTIF(C17:AF17,"-")</f>
        <v/>
      </c>
      <c r="AI17" s="10">
        <f>COUNTIF(C17:AF17,"0")</f>
        <v/>
      </c>
      <c r="AJ17" s="12">
        <f>IF((AG17+AH17+AI17)=0,"",ROUND(AG17/(AG17+AH17+AI17)*100,0))</f>
        <v/>
      </c>
    </row>
    <row r="18" ht="18" customHeight="1">
      <c r="A18" s="10" t="n">
        <v>15</v>
      </c>
      <c r="B18" s="11">
        <f>IF('O''quvchilar'!B17="","",'O''quvchilar'!B17)</f>
        <v/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10">
        <f>COUNTIF(C18:AF18,"+")</f>
        <v/>
      </c>
      <c r="AH18" s="10">
        <f>COUNTIF(C18:AF18,"-")</f>
        <v/>
      </c>
      <c r="AI18" s="10">
        <f>COUNTIF(C18:AF18,"0")</f>
        <v/>
      </c>
      <c r="AJ18" s="12">
        <f>IF((AG18+AH18+AI18)=0,"",ROUND(AG18/(AG18+AH18+AI18)*100,0))</f>
        <v/>
      </c>
    </row>
    <row r="19" ht="18" customHeight="1">
      <c r="A19" s="13" t="n">
        <v>16</v>
      </c>
      <c r="B19" s="14">
        <f>IF('O''quvchilar'!B18="","",'O''quvchilar'!B18)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10">
        <f>COUNTIF(C19:AF19,"+")</f>
        <v/>
      </c>
      <c r="AH19" s="10">
        <f>COUNTIF(C19:AF19,"-")</f>
        <v/>
      </c>
      <c r="AI19" s="10">
        <f>COUNTIF(C19:AF19,"0")</f>
        <v/>
      </c>
      <c r="AJ19" s="12">
        <f>IF((AG19+AH19+AI19)=0,"",ROUND(AG19/(AG19+AH19+AI19)*100,0))</f>
        <v/>
      </c>
    </row>
    <row r="20" ht="18" customHeight="1">
      <c r="A20" s="10" t="n">
        <v>17</v>
      </c>
      <c r="B20" s="11">
        <f>IF('O''quvchilar'!B19="","",'O''quvchilar'!B19)</f>
        <v/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10">
        <f>COUNTIF(C20:AF20,"+")</f>
        <v/>
      </c>
      <c r="AH20" s="10">
        <f>COUNTIF(C20:AF20,"-")</f>
        <v/>
      </c>
      <c r="AI20" s="10">
        <f>COUNTIF(C20:AF20,"0")</f>
        <v/>
      </c>
      <c r="AJ20" s="12">
        <f>IF((AG20+AH20+AI20)=0,"",ROUND(AG20/(AG20+AH20+AI20)*100,0))</f>
        <v/>
      </c>
    </row>
    <row r="21" ht="18" customHeight="1">
      <c r="A21" s="13" t="n">
        <v>18</v>
      </c>
      <c r="B21" s="14">
        <f>IF('O''quvchilar'!B20="","",'O''quvchilar'!B20)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10">
        <f>COUNTIF(C21:AF21,"+")</f>
        <v/>
      </c>
      <c r="AH21" s="10">
        <f>COUNTIF(C21:AF21,"-")</f>
        <v/>
      </c>
      <c r="AI21" s="10">
        <f>COUNTIF(C21:AF21,"0")</f>
        <v/>
      </c>
      <c r="AJ21" s="12">
        <f>IF((AG21+AH21+AI21)=0,"",ROUND(AG21/(AG21+AH21+AI21)*100,0))</f>
        <v/>
      </c>
    </row>
    <row r="22" ht="18" customHeight="1">
      <c r="A22" s="10" t="n">
        <v>19</v>
      </c>
      <c r="B22" s="11">
        <f>IF('O''quvchilar'!B21="","",'O''quvchilar'!B21)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10">
        <f>COUNTIF(C22:AF22,"+")</f>
        <v/>
      </c>
      <c r="AH22" s="10">
        <f>COUNTIF(C22:AF22,"-")</f>
        <v/>
      </c>
      <c r="AI22" s="10">
        <f>COUNTIF(C22:AF22,"0")</f>
        <v/>
      </c>
      <c r="AJ22" s="12">
        <f>IF((AG22+AH22+AI22)=0,"",ROUND(AG22/(AG22+AH22+AI22)*100,0))</f>
        <v/>
      </c>
    </row>
    <row r="23" ht="18" customHeight="1">
      <c r="A23" s="13" t="n">
        <v>20</v>
      </c>
      <c r="B23" s="14">
        <f>IF('O''quvchilar'!B22="","",'O''quvchilar'!B22)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10">
        <f>COUNTIF(C23:AF23,"+")</f>
        <v/>
      </c>
      <c r="AH23" s="10">
        <f>COUNTIF(C23:AF23,"-")</f>
        <v/>
      </c>
      <c r="AI23" s="10">
        <f>COUNTIF(C23:AF23,"0")</f>
        <v/>
      </c>
      <c r="AJ23" s="12">
        <f>IF((AG23+AH23+AI23)=0,"",ROUND(AG23/(AG23+AH23+AI23)*100,0))</f>
        <v/>
      </c>
    </row>
    <row r="25">
      <c r="B25" s="15" t="inlineStr">
        <is>
          <t>IZOH</t>
        </is>
      </c>
    </row>
    <row r="26">
      <c r="B26" s="16" t="inlineStr">
        <is>
          <t>+</t>
        </is>
      </c>
      <c r="C26" s="17" t="inlineStr">
        <is>
          <t>qatnashdi</t>
        </is>
      </c>
    </row>
    <row r="27">
      <c r="B27" s="16" t="inlineStr">
        <is>
          <t>-</t>
        </is>
      </c>
      <c r="C27" s="17" t="inlineStr">
        <is>
          <t>qatnashmadi</t>
        </is>
      </c>
    </row>
    <row r="28">
      <c r="B28" s="16" t="inlineStr">
        <is>
          <t>0</t>
        </is>
      </c>
      <c r="C28" s="17" t="inlineStr">
        <is>
          <t>sababli / kech qoldi</t>
        </is>
      </c>
    </row>
    <row r="29">
      <c r="B29" s="16" t="inlineStr">
        <is>
          <t>3-qator</t>
        </is>
      </c>
      <c r="C29" s="17" t="inlineStr">
        <is>
          <t>har bir darsning sanasini o'zingiz kiritasiz</t>
        </is>
      </c>
    </row>
  </sheetData>
  <mergeCells count="7">
    <mergeCell ref="B2:B3"/>
    <mergeCell ref="A2:A3"/>
    <mergeCell ref="AI2:AI3"/>
    <mergeCell ref="AG2:AG3"/>
    <mergeCell ref="AJ2:AJ3"/>
    <mergeCell ref="AH2:AH3"/>
    <mergeCell ref="A1:AJ1"/>
  </mergeCells>
  <conditionalFormatting sqref="C4:AF23">
    <cfRule type="cellIs" priority="1" operator="equal" dxfId="0">
      <formula>"+"</formula>
    </cfRule>
    <cfRule type="cellIs" priority="2" operator="equal" dxfId="1">
      <formula>"-"</formula>
    </cfRule>
    <cfRule type="cellIs" priority="3" operator="equal" dxfId="2">
      <formula>"0"</formula>
    </cfRule>
  </conditionalFormatting>
  <dataValidations count="1">
    <dataValidation sqref="C4:AF23" showDropDown="0" showInputMessage="0" showErrorMessage="1" allowBlank="1" errorTitle="Noto'g'ri belgi" error="Faqat  + , -  yoki  0  kiriting!" promptTitle="Davomat belgisi" prompt="+ qatnashdi,  - qatnashmadi,  0 sababli" type="list">
      <formula1>"+,-,0"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2026-06-02T03:41:02Z</dcterms:created>
  <dcterms:modified xsi:type="dcterms:W3CDTF">2026-06-02T03:41:02Z</dcterms:modified>
</cp:coreProperties>
</file>